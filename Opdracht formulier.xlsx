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Opdracht" sheetId="2" r:id="rId6"/>
  </sheets>
  <definedNames>
    <definedName name="Label_Klantenvertellen_Id">Data!$J$3:$J$1000</definedName>
    <definedName name="Label_Id">Data!$B$3:$B$1000</definedName>
    <definedName name="Label_Name">Data!$C$3:$C$1000</definedName>
    <definedName name="Label_Kiyoh_Id">Data!$G$3:$G$1000</definedName>
    <definedName name="Label_Klantenvertellen_Name">Data!$K$3:$K$1000</definedName>
    <definedName name="Label_Kiyoh_Name">Data!$H$3:$H$1000</definedName>
    <definedName name="Label_eKomi_Id">Data!$M$3:$M$1000</definedName>
    <definedName name="Label_Patiëntenvertellen_Id">Data!$S$3:$S$1000</definedName>
    <definedName name="Label_Patiëntenvertellen_Name">Data!$T$3:$T$1000</definedName>
    <definedName name="Label_Keuze1">Data!$E$3:$E$1000</definedName>
    <definedName name="Label_Bouwnu_Id">Data!$P$3:$P$1000</definedName>
    <definedName name="Label_Bouwnu_Name">Data!$Q$3:$Q$1000</definedName>
    <definedName name="Label_eKomi_Name">Data!$N$3:$N$1000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Om wat voor eenmalige kosten gaat het?</t>
      </text>
    </comment>
  </commentList>
</comments>
</file>

<file path=xl/sharedStrings.xml><?xml version="1.0" encoding="utf-8"?>
<sst xmlns="http://schemas.openxmlformats.org/spreadsheetml/2006/main" count="78" uniqueCount="66">
  <si>
    <t>ID</t>
  </si>
  <si>
    <t>Label</t>
  </si>
  <si>
    <t>Keuze</t>
  </si>
  <si>
    <t>Kiyoh</t>
  </si>
  <si>
    <t>Klantenvertellen</t>
  </si>
  <si>
    <t>eKomi</t>
  </si>
  <si>
    <t>Bouwnu</t>
  </si>
  <si>
    <t>Patiëntenvertellen</t>
  </si>
  <si>
    <t>Go</t>
  </si>
  <si>
    <t>LocalStar</t>
  </si>
  <si>
    <t>Basis</t>
  </si>
  <si>
    <t>Pro</t>
  </si>
  <si>
    <t>GoogleStar</t>
  </si>
  <si>
    <t>Plus</t>
  </si>
  <si>
    <t>Premium</t>
  </si>
  <si>
    <t>Star</t>
  </si>
  <si>
    <t>Internationaal</t>
  </si>
  <si>
    <t>Mobiliteit</t>
  </si>
  <si>
    <t>Thuiswinkel</t>
  </si>
  <si>
    <t>Opdrachtformulier</t>
  </si>
  <si>
    <t>Account gegevens</t>
  </si>
  <si>
    <t>Accountnaam</t>
  </si>
  <si>
    <t>Gebruikersnaam</t>
  </si>
  <si>
    <t>E-mailadres voor klanten</t>
  </si>
  <si>
    <t>Website</t>
  </si>
  <si>
    <t>Bron</t>
  </si>
  <si>
    <t>Aanmelding</t>
  </si>
  <si>
    <t>Extra account klant</t>
  </si>
  <si>
    <t>Partner</t>
  </si>
  <si>
    <t>Inbound telefonie</t>
  </si>
  <si>
    <t>Gebruikers gegevens</t>
  </si>
  <si>
    <t>Adres</t>
  </si>
  <si>
    <t>Postcode</t>
  </si>
  <si>
    <t>Verstigingsplaats</t>
  </si>
  <si>
    <t>Naam contactpersoon</t>
  </si>
  <si>
    <t>Telefoonnummer voor klanten</t>
  </si>
  <si>
    <t>2e telefoonnummer</t>
  </si>
  <si>
    <t>Factuurgegevens</t>
  </si>
  <si>
    <t>Factuur bedrijfsnaam</t>
  </si>
  <si>
    <t>KVK</t>
  </si>
  <si>
    <t>BTW-nummer</t>
  </si>
  <si>
    <t>Factuur ter attentie van</t>
  </si>
  <si>
    <t>Factuurbedrag (per jaar), let op branche afspraak</t>
  </si>
  <si>
    <r>
      <rPr>
        <rFont val="Arial"/>
        <b/>
        <color theme="1"/>
        <sz val="12.0"/>
      </rPr>
      <t xml:space="preserve">Eenmalige kosten
</t>
    </r>
    <r>
      <rPr>
        <rFont val="Arial"/>
        <b val="0"/>
        <color theme="1"/>
        <sz val="10.0"/>
      </rPr>
      <t>Toelichting | Kosten</t>
    </r>
  </si>
  <si>
    <t>Telefoonnummer facturatie</t>
  </si>
  <si>
    <t>E-mailadres facturatie</t>
  </si>
  <si>
    <t>Pakket</t>
  </si>
  <si>
    <t>Uitnodigingen per maand</t>
  </si>
  <si>
    <t>Looptijd</t>
  </si>
  <si>
    <t>Prijs inclusief</t>
  </si>
  <si>
    <t>Easy Click Reviews</t>
  </si>
  <si>
    <t>Easy Invite Link</t>
  </si>
  <si>
    <t>Product Reviews</t>
  </si>
  <si>
    <t>Reviewsplit</t>
  </si>
  <si>
    <t>XML-feed</t>
  </si>
  <si>
    <t>Listings</t>
  </si>
  <si>
    <t>Filter Question</t>
  </si>
  <si>
    <t>BCC</t>
  </si>
  <si>
    <t>Widget Collectie</t>
  </si>
  <si>
    <t>API Integratie</t>
  </si>
  <si>
    <t>Toelichting factuur:
(Eventuele korting)</t>
  </si>
  <si>
    <t xml:space="preserve">Opmerkingen algemeen </t>
  </si>
  <si>
    <t>Product verkocht</t>
  </si>
  <si>
    <t>Datum</t>
  </si>
  <si>
    <t>Verkoper</t>
  </si>
  <si>
    <t>Nick van der Linden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</si>
</sst>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.00"/>
    <numFmt numFmtId="165" formatCode="[$€-2]\ #,##0.00"/>
    <numFmt numFmtId="166" formatCode="dd-mm-yyyy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/>
    <font>
      <sz val="11.0"/>
      <color theme="1"/>
      <name val="Arial"/>
    </font>
    <font>
      <b/>
      <sz val="11.0"/>
      <color theme="1"/>
      <name val="Arial"/>
    </font>
    <font>
      <color rgb="FFFFFFFF"/>
      <name val="Arial"/>
      <scheme val="minor"/>
    </font>
    <font>
      <i/>
      <sz val="8.0"/>
      <color theme="1"/>
      <name val="Arial"/>
    </font>
    <font>
      <i/>
      <color theme="1"/>
      <name val="Arial"/>
    </font>
    <font>
      <i/>
      <sz val="9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left" vertical="center"/>
    </xf>
    <xf borderId="10" fillId="0" fontId="5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3" fillId="2" fontId="5" numFmtId="0" xfId="0" applyAlignment="1" applyBorder="1" applyFill="1" applyFont="1">
      <alignment shrinkToFit="0" vertical="center" wrapText="1"/>
    </xf>
    <xf borderId="10" fillId="0" fontId="6" numFmtId="0" xfId="0" applyAlignment="1" applyBorder="1" applyFont="1">
      <alignment readingOrder="0" vertical="center"/>
    </xf>
    <xf borderId="10" fillId="0" fontId="7" numFmtId="0" xfId="0" applyBorder="1" applyFont="1"/>
    <xf borderId="8" fillId="0" fontId="7" numFmtId="0" xfId="0" applyBorder="1" applyFont="1"/>
    <xf borderId="1" fillId="0" fontId="8" numFmtId="0" xfId="0" applyAlignment="1" applyBorder="1" applyFont="1">
      <alignment readingOrder="0" vertical="center"/>
    </xf>
    <xf borderId="11" fillId="0" fontId="7" numFmtId="0" xfId="0" applyBorder="1" applyFont="1"/>
    <xf borderId="2" fillId="0" fontId="7" numFmtId="0" xfId="0" applyBorder="1" applyFont="1"/>
    <xf borderId="10" fillId="0" fontId="8" numFmtId="0" xfId="0" applyAlignment="1" applyBorder="1" applyFont="1">
      <alignment readingOrder="0" vertical="center"/>
    </xf>
    <xf borderId="12" fillId="2" fontId="5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vertical="center"/>
    </xf>
    <xf borderId="9" fillId="0" fontId="7" numFmtId="0" xfId="0" applyBorder="1" applyFont="1"/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3" fillId="0" fontId="3" numFmtId="0" xfId="0" applyAlignment="1" applyBorder="1" applyFont="1">
      <alignment vertical="center"/>
    </xf>
    <xf borderId="3" fillId="2" fontId="4" numFmtId="0" xfId="0" applyAlignment="1" applyBorder="1" applyFont="1">
      <alignment vertical="center"/>
    </xf>
    <xf borderId="5" fillId="0" fontId="3" numFmtId="0" xfId="0" applyBorder="1" applyFont="1"/>
    <xf borderId="2" fillId="0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0" fillId="0" fontId="3" numFmtId="0" xfId="0" applyFont="1"/>
    <xf borderId="1" fillId="0" fontId="8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3" fillId="2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3" fillId="2" fontId="3" numFmtId="0" xfId="0" applyAlignment="1" applyBorder="1" applyFont="1">
      <alignment vertical="center"/>
    </xf>
    <xf borderId="0" fillId="0" fontId="2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9" numFmtId="164" xfId="0" applyAlignment="1" applyBorder="1" applyFont="1" applyNumberFormat="1">
      <alignment horizontal="left" readingOrder="0" vertical="center"/>
    </xf>
    <xf borderId="11" fillId="0" fontId="8" numFmtId="0" xfId="0" applyAlignment="1" applyBorder="1" applyFont="1">
      <alignment vertical="center"/>
    </xf>
    <xf borderId="3" fillId="0" fontId="9" numFmtId="165" xfId="0" applyAlignment="1" applyBorder="1" applyFont="1" applyNumberFormat="1">
      <alignment horizontal="left" readingOrder="0" vertical="center"/>
    </xf>
    <xf borderId="0" fillId="0" fontId="10" numFmtId="0" xfId="0" applyAlignment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2" fillId="2" fontId="5" numFmtId="0" xfId="0" applyAlignment="1" applyBorder="1" applyFont="1">
      <alignment readingOrder="0" shrinkToFit="0" vertical="center" wrapText="1"/>
    </xf>
    <xf borderId="1" fillId="0" fontId="8" numFmtId="3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6" fillId="0" fontId="7" numFmtId="0" xfId="0" applyBorder="1" applyFont="1"/>
    <xf borderId="1" fillId="0" fontId="4" numFmtId="0" xfId="0" applyAlignment="1" applyBorder="1" applyFont="1">
      <alignment vertical="center"/>
    </xf>
    <xf borderId="3" fillId="0" fontId="8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right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14" fillId="0" fontId="7" numFmtId="0" xfId="0" applyBorder="1" applyFont="1"/>
    <xf borderId="15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7" fillId="0" fontId="7" numFmtId="0" xfId="0" applyBorder="1" applyFont="1"/>
    <xf borderId="1" fillId="0" fontId="5" numFmtId="0" xfId="0" applyAlignment="1" applyBorder="1" applyFont="1">
      <alignment vertical="center"/>
    </xf>
    <xf borderId="16" fillId="3" fontId="14" numFmtId="0" xfId="0" applyAlignment="1" applyBorder="1" applyFill="1" applyFont="1">
      <alignment horizontal="right" vertical="center"/>
    </xf>
    <xf borderId="17" fillId="0" fontId="14" numFmtId="166" xfId="0" applyAlignment="1" applyBorder="1" applyFont="1" applyNumberFormat="1">
      <alignment horizontal="left" readingOrder="0" vertical="center"/>
    </xf>
    <xf borderId="17" fillId="0" fontId="7" numFmtId="0" xfId="0" applyBorder="1" applyFont="1"/>
    <xf borderId="18" fillId="0" fontId="7" numFmtId="0" xfId="0" applyBorder="1" applyFont="1"/>
    <xf borderId="9" fillId="3" fontId="14" numFmtId="0" xfId="0" applyAlignment="1" applyBorder="1" applyFont="1">
      <alignment horizontal="right" vertical="center"/>
    </xf>
    <xf borderId="10" fillId="0" fontId="1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2.63"/>
    <col customWidth="1" min="2" max="2" width="3.38"/>
    <col customWidth="1" min="3" max="3" width="16.13"/>
    <col customWidth="1" min="4" max="4" width="3.13"/>
    <col customWidth="1" min="5" max="5" width="16.13" outlineLevel="1"/>
    <col customWidth="1" min="6" max="6" width="3.13" outlineLevel="1"/>
    <col customWidth="1" min="7" max="7" width="3.13"/>
    <col customWidth="1" min="9" max="10" width="3.13"/>
    <col customWidth="1" min="11" max="11" width="14.25"/>
    <col customWidth="1" min="12" max="13" width="3.13"/>
    <col customWidth="1" min="14" max="14" width="14.25"/>
    <col customWidth="1" min="15" max="16" width="3.13"/>
    <col customWidth="1" min="17" max="17" width="14.25"/>
    <col customWidth="1" min="18" max="19" width="3.13"/>
    <col customWidth="1" min="20" max="20" width="14.25"/>
  </cols>
  <sheetData>
    <row r="2">
      <c r="B2" s="1" t="s">
        <v>0</v>
      </c>
      <c r="C2" s="2" t="s">
        <v>1</v>
      </c>
      <c r="E2" s="3" t="s">
        <v>2</v>
      </c>
      <c r="G2" s="4">
        <f t="array" ref="G2">INDEX(Label_Id,MATCH(H2,Label_Name,0))</f>
        <v>1</v>
      </c>
      <c r="H2" s="5" t="s">
        <v>3</v>
      </c>
      <c r="J2" s="4">
        <f t="array" ref="J2">INDEX(Label_Id,MATCH(K2,Label_Name,0))</f>
        <v>2</v>
      </c>
      <c r="K2" s="5" t="s">
        <v>4</v>
      </c>
      <c r="M2" s="4">
        <f t="array" ref="M2">INDEX(Label_Id,MATCH(N2,Label_Name,0))</f>
        <v>4</v>
      </c>
      <c r="N2" s="5" t="s">
        <v>5</v>
      </c>
      <c r="P2" s="4">
        <f t="array" ref="P2">INDEX(Label_Id,MATCH(Q2,Label_Name,0))</f>
        <v>5</v>
      </c>
      <c r="Q2" s="5" t="s">
        <v>6</v>
      </c>
      <c r="S2" s="4">
        <v>6.0</v>
      </c>
      <c r="T2" s="5" t="s">
        <v>7</v>
      </c>
    </row>
    <row r="3">
      <c r="B3" s="6">
        <v>1.0</v>
      </c>
      <c r="C3" s="7" t="s">
        <v>3</v>
      </c>
      <c r="E3" s="8" t="str">
        <f t="array" ref="E3">IFERROR(INDIRECT("Label_" &amp; Opdracht!C32 &amp; "_Name"),"")</f>
        <v/>
      </c>
      <c r="G3" s="6">
        <v>1.0</v>
      </c>
      <c r="H3" s="7" t="s">
        <v>8</v>
      </c>
      <c r="J3" s="6">
        <v>1.0</v>
      </c>
      <c r="K3" s="7" t="s">
        <v>8</v>
      </c>
      <c r="M3" s="6">
        <v>1.0</v>
      </c>
      <c r="N3" s="7" t="s">
        <v>9</v>
      </c>
      <c r="P3" s="6">
        <v>1.0</v>
      </c>
      <c r="Q3" s="7" t="s">
        <v>10</v>
      </c>
      <c r="S3" s="6">
        <v>1.0</v>
      </c>
      <c r="T3" s="7" t="s">
        <v>8</v>
      </c>
    </row>
    <row r="4">
      <c r="B4" s="6">
        <v>2.0</v>
      </c>
      <c r="C4" s="7" t="s">
        <v>4</v>
      </c>
      <c r="E4" s="8"/>
      <c r="G4" s="6">
        <v>2.0</v>
      </c>
      <c r="H4" s="7" t="s">
        <v>11</v>
      </c>
      <c r="J4" s="6">
        <v>2.0</v>
      </c>
      <c r="K4" s="7" t="s">
        <v>11</v>
      </c>
      <c r="M4" s="6">
        <v>2.0</v>
      </c>
      <c r="N4" s="7" t="s">
        <v>12</v>
      </c>
      <c r="P4" s="6">
        <v>2.0</v>
      </c>
      <c r="Q4" s="7" t="s">
        <v>13</v>
      </c>
      <c r="S4" s="6">
        <v>2.0</v>
      </c>
      <c r="T4" s="7" t="s">
        <v>11</v>
      </c>
    </row>
    <row r="5">
      <c r="B5" s="6">
        <v>3.0</v>
      </c>
      <c r="C5" s="7" t="s">
        <v>7</v>
      </c>
      <c r="E5" s="8"/>
      <c r="G5" s="6">
        <v>3.0</v>
      </c>
      <c r="H5" s="7" t="s">
        <v>14</v>
      </c>
      <c r="J5" s="6">
        <v>3.0</v>
      </c>
      <c r="K5" s="7" t="s">
        <v>14</v>
      </c>
      <c r="M5" s="6">
        <v>3.0</v>
      </c>
      <c r="N5" s="7" t="s">
        <v>15</v>
      </c>
      <c r="P5" s="6"/>
      <c r="Q5" s="7"/>
      <c r="S5" s="6"/>
      <c r="T5" s="7"/>
    </row>
    <row r="6">
      <c r="B6" s="6">
        <v>4.0</v>
      </c>
      <c r="C6" s="7" t="s">
        <v>5</v>
      </c>
      <c r="E6" s="8"/>
      <c r="G6" s="6">
        <v>4.0</v>
      </c>
      <c r="H6" s="7" t="s">
        <v>16</v>
      </c>
      <c r="J6" s="6">
        <v>4.0</v>
      </c>
      <c r="K6" s="7" t="s">
        <v>17</v>
      </c>
      <c r="M6" s="6"/>
      <c r="N6" s="7"/>
      <c r="P6" s="6"/>
      <c r="Q6" s="7"/>
      <c r="S6" s="6"/>
      <c r="T6" s="7"/>
    </row>
    <row r="7">
      <c r="B7" s="9">
        <v>5.0</v>
      </c>
      <c r="C7" s="10" t="s">
        <v>6</v>
      </c>
      <c r="E7" s="11"/>
      <c r="G7" s="9">
        <v>5.0</v>
      </c>
      <c r="H7" s="10" t="s">
        <v>18</v>
      </c>
      <c r="J7" s="12"/>
      <c r="K7" s="13"/>
      <c r="M7" s="12"/>
      <c r="N7" s="13"/>
      <c r="P7" s="12"/>
      <c r="Q7" s="13"/>
      <c r="S7" s="12"/>
      <c r="T7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4.5"/>
    <col customWidth="1" min="2" max="2" width="32.13"/>
    <col customWidth="1" min="3" max="3" width="3.75"/>
    <col customWidth="1" min="4" max="4" width="13.38"/>
    <col customWidth="1" min="5" max="5" width="3.88"/>
    <col collapsed="1" customWidth="1" min="6" max="6" width="16.25"/>
    <col customWidth="1" hidden="1" min="7" max="7" width="5.5" outlineLevel="1"/>
    <col customWidth="1" min="8" max="8" width="26.25"/>
    <col customWidth="1" min="9" max="9" width="11.5"/>
  </cols>
  <sheetData>
    <row r="1">
      <c r="A1" s="14"/>
      <c r="B1" s="15"/>
      <c r="C1" s="15"/>
      <c r="D1" s="15"/>
      <c r="E1" s="15"/>
      <c r="F1" s="16" t="s">
        <v>19</v>
      </c>
      <c r="G1" s="15"/>
      <c r="H1" s="15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4"/>
      <c r="B2" s="15"/>
      <c r="C2" s="15"/>
      <c r="D2" s="15"/>
      <c r="E2" s="15"/>
      <c r="F2" s="15"/>
      <c r="G2" s="15"/>
      <c r="H2" s="1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14"/>
      <c r="B3" s="18" t="s">
        <v>20</v>
      </c>
      <c r="C3" s="19"/>
      <c r="D3" s="19"/>
      <c r="E3" s="19"/>
      <c r="F3" s="19"/>
      <c r="G3" s="15"/>
      <c r="H3" s="15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4.75" customHeight="1" outlineLevel="1">
      <c r="A4" s="14"/>
      <c r="B4" s="20" t="s">
        <v>21</v>
      </c>
      <c r="C4" s="21"/>
      <c r="D4" s="22"/>
      <c r="E4" s="22"/>
      <c r="F4" s="23"/>
      <c r="G4" s="15"/>
      <c r="H4" s="15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30.75" customHeight="1" outlineLevel="1">
      <c r="A5" s="14"/>
      <c r="B5" s="20" t="s">
        <v>22</v>
      </c>
      <c r="C5" s="24"/>
      <c r="D5" s="25"/>
      <c r="E5" s="25"/>
      <c r="F5" s="26"/>
      <c r="G5" s="15"/>
      <c r="H5" s="15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30.75" customHeight="1" outlineLevel="1">
      <c r="A6" s="14"/>
      <c r="B6" s="20" t="s">
        <v>23</v>
      </c>
      <c r="C6" s="24"/>
      <c r="D6" s="25"/>
      <c r="E6" s="25"/>
      <c r="F6" s="26"/>
      <c r="G6" s="15"/>
      <c r="H6" s="15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4.75" customHeight="1" outlineLevel="1">
      <c r="A7" s="14"/>
      <c r="B7" s="20" t="s">
        <v>24</v>
      </c>
      <c r="C7" s="27"/>
      <c r="D7" s="22"/>
      <c r="E7" s="22"/>
      <c r="F7" s="23"/>
      <c r="G7" s="15"/>
      <c r="H7" s="15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4.75" customHeight="1" outlineLevel="1">
      <c r="A8" s="14"/>
      <c r="B8" s="28" t="s">
        <v>25</v>
      </c>
      <c r="C8" s="29" t="b">
        <v>0</v>
      </c>
      <c r="D8" s="30" t="s">
        <v>26</v>
      </c>
      <c r="E8" s="29" t="b">
        <v>0</v>
      </c>
      <c r="F8" s="30" t="s">
        <v>27</v>
      </c>
      <c r="G8" s="15"/>
      <c r="H8" s="15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4.75" customHeight="1" outlineLevel="1">
      <c r="A9" s="14"/>
      <c r="B9" s="31"/>
      <c r="C9" s="32" t="b">
        <v>0</v>
      </c>
      <c r="D9" s="33" t="s">
        <v>28</v>
      </c>
      <c r="E9" s="34" t="b">
        <v>0</v>
      </c>
      <c r="F9" s="33" t="s">
        <v>29</v>
      </c>
      <c r="G9" s="15"/>
      <c r="H9" s="15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4.75" customHeight="1" outlineLevel="1">
      <c r="A10" s="14"/>
      <c r="B10" s="35" t="str">
        <f>IF(C9=TRUE,"Naam Partner ","") &amp; IF(AND(E8=TRUE,C9=TRUE),"en ","") &amp; IF(E8=TRUE,"Relatie nr. klant","")</f>
        <v/>
      </c>
      <c r="C10" s="36"/>
      <c r="D10" s="25"/>
      <c r="E10" s="25"/>
      <c r="F10" s="26"/>
      <c r="G10" s="37"/>
      <c r="H10" s="38" t="str">
        <f t="array" ref="H10">IFERROR(IF(C10&lt;&gt;"", LEFT(SUMPRODUCT(MID(0&amp;C10, LARGE(INDEX(ISNUMBER(--MID(C10, ROW(INDIRECT("1:"&amp;LEN(C10))), 1)) * ROW(INDIRECT("1:"&amp;LEN(C10))), 0), ROW(INDIRECT("1:"&amp;LEN(C10))))+1, 1) * 10^ROW(INDIRECT("1:"&amp;LEN(C10)))/10),8),LEFT(SUMPRODUCT(MID(0&amp;C4, LARGE(INDEX(ISNUMBER(--MID(C4, ROW(INDIRECT("1:"&amp;LEN(C4))), 1)) * ROW(INDIRECT("1:"&amp;LEN(C4))), 0), ROW(INDIRECT("1:"&amp;LEN(C4))))+1, 1) * 10^ROW(INDIRECT("1:"&amp;LEN(C4)))/10),8)),"")</f>
        <v/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4.75" customHeight="1" outlineLevel="1">
      <c r="A11" s="39"/>
      <c r="B11" s="35" t="str">
        <f>IF(AND(E8=TRUE,C9=TRUE),"en ","") &amp; IF(E8=TRUE,"Nieuw relatie nr.","")</f>
        <v/>
      </c>
      <c r="C11" s="40" t="b">
        <v>0</v>
      </c>
      <c r="D11" s="41" t="str">
        <f>IF(AND(E8=TRUE,C9=TRUE),"en ","") &amp; IF(E8=TRUE,"Ja","")</f>
        <v/>
      </c>
      <c r="E11" s="42" t="b">
        <v>0</v>
      </c>
      <c r="F11" s="41" t="str">
        <f>IF(AND(E8=TRUE,C9=TRUE),"en ","") &amp; IF(E8=TRUE,"Nee","")</f>
        <v/>
      </c>
      <c r="G11" s="15"/>
      <c r="H11" s="15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ht="12.75" customHeight="1">
      <c r="A12" s="14"/>
      <c r="B12" s="15"/>
      <c r="C12" s="15"/>
      <c r="D12" s="15"/>
      <c r="E12" s="15"/>
      <c r="F12" s="15"/>
      <c r="G12" s="15"/>
      <c r="H12" s="15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4.75" customHeight="1">
      <c r="A13" s="14"/>
      <c r="B13" s="18" t="s">
        <v>30</v>
      </c>
      <c r="C13" s="19"/>
      <c r="D13" s="19"/>
      <c r="E13" s="19"/>
      <c r="F13" s="19"/>
      <c r="G13" s="15"/>
      <c r="H13" s="15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4.75" customHeight="1" outlineLevel="1">
      <c r="A14" s="14"/>
      <c r="B14" s="20" t="s">
        <v>31</v>
      </c>
      <c r="C14" s="24"/>
      <c r="D14" s="25"/>
      <c r="E14" s="25"/>
      <c r="F14" s="26"/>
      <c r="G14" s="15"/>
      <c r="H14" s="15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4.75" customHeight="1" outlineLevel="1">
      <c r="A15" s="14"/>
      <c r="B15" s="20" t="s">
        <v>32</v>
      </c>
      <c r="C15" s="44"/>
      <c r="D15" s="25"/>
      <c r="E15" s="25"/>
      <c r="F15" s="26"/>
      <c r="G15" s="15"/>
      <c r="H15" s="15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4.75" customHeight="1" outlineLevel="1">
      <c r="A16" s="14"/>
      <c r="B16" s="20" t="s">
        <v>33</v>
      </c>
      <c r="C16" s="24"/>
      <c r="D16" s="25"/>
      <c r="E16" s="25"/>
      <c r="F16" s="26"/>
      <c r="G16" s="15"/>
      <c r="H16" s="15"/>
      <c r="I16" s="17"/>
      <c r="J16" s="45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4.75" customHeight="1" outlineLevel="1">
      <c r="A17" s="14"/>
      <c r="B17" s="20" t="s">
        <v>34</v>
      </c>
      <c r="C17" s="24"/>
      <c r="D17" s="25"/>
      <c r="E17" s="25"/>
      <c r="F17" s="26"/>
      <c r="G17" s="15"/>
      <c r="H17" s="15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4.75" customHeight="1" outlineLevel="1">
      <c r="A18" s="14"/>
      <c r="B18" s="46" t="s">
        <v>35</v>
      </c>
      <c r="C18" s="24"/>
      <c r="D18" s="25"/>
      <c r="E18" s="25"/>
      <c r="F18" s="26"/>
      <c r="G18" s="15"/>
      <c r="H18" s="15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4.75" customHeight="1" outlineLevel="1">
      <c r="A19" s="14"/>
      <c r="B19" s="20" t="s">
        <v>36</v>
      </c>
      <c r="C19" s="24"/>
      <c r="D19" s="25"/>
      <c r="E19" s="25"/>
      <c r="F19" s="26"/>
      <c r="G19" s="47"/>
      <c r="H19" s="4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0" customHeight="1">
      <c r="A20" s="14"/>
      <c r="B20" s="15"/>
      <c r="C20" s="15"/>
      <c r="D20" s="15"/>
      <c r="E20" s="15"/>
      <c r="F20" s="15"/>
      <c r="G20" s="15"/>
      <c r="H20" s="15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4.75" customHeight="1">
      <c r="A21" s="14"/>
      <c r="B21" s="18" t="s">
        <v>37</v>
      </c>
      <c r="C21" s="19"/>
      <c r="D21" s="19"/>
      <c r="E21" s="19"/>
      <c r="F21" s="19"/>
      <c r="G21" s="15"/>
      <c r="H21" s="15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4.75" customHeight="1" outlineLevel="1">
      <c r="A22" s="48" t="b">
        <v>1</v>
      </c>
      <c r="B22" s="20" t="s">
        <v>38</v>
      </c>
      <c r="C22" s="49"/>
      <c r="D22" s="25"/>
      <c r="E22" s="25"/>
      <c r="F22" s="26"/>
      <c r="G22" s="37"/>
      <c r="H22" s="50" t="str">
        <f>IF(OR(A22=TRUE,A22=1),C4,"")</f>
        <v/>
      </c>
      <c r="I22" s="51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4.75" customHeight="1" outlineLevel="1">
      <c r="A23" s="48"/>
      <c r="B23" s="20" t="s">
        <v>39</v>
      </c>
      <c r="C23" s="44"/>
      <c r="D23" s="25"/>
      <c r="E23" s="25"/>
      <c r="F23" s="26"/>
      <c r="G23" s="37"/>
      <c r="H23" s="4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4.75" customHeight="1" outlineLevel="1">
      <c r="A24" s="48"/>
      <c r="B24" s="20" t="s">
        <v>40</v>
      </c>
      <c r="C24" s="52"/>
      <c r="D24" s="25"/>
      <c r="E24" s="25"/>
      <c r="F24" s="26"/>
      <c r="G24" s="37"/>
      <c r="H24" s="4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4.75" customHeight="1" outlineLevel="1">
      <c r="A25" s="48" t="b">
        <v>1</v>
      </c>
      <c r="B25" s="20" t="s">
        <v>41</v>
      </c>
      <c r="C25" s="24"/>
      <c r="D25" s="25"/>
      <c r="E25" s="25"/>
      <c r="F25" s="26"/>
      <c r="G25" s="37"/>
      <c r="H25" s="50" t="str">
        <f>IF(OR(A25=TRUE,A25=1),C17,"")</f>
        <v/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30.0" customHeight="1" outlineLevel="1">
      <c r="A26" s="14"/>
      <c r="B26" s="20" t="s">
        <v>42</v>
      </c>
      <c r="C26" s="53">
        <v>0.0</v>
      </c>
      <c r="D26" s="25"/>
      <c r="E26" s="25"/>
      <c r="F26" s="26"/>
      <c r="G26" s="37"/>
      <c r="H26" s="4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33.0" customHeight="1" outlineLevel="1">
      <c r="A27" s="48"/>
      <c r="B27" s="20" t="s">
        <v>43</v>
      </c>
      <c r="C27" s="54"/>
      <c r="D27" s="25"/>
      <c r="E27" s="26"/>
      <c r="F27" s="55">
        <v>0.0</v>
      </c>
      <c r="G27" s="37"/>
      <c r="H27" s="4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4.75" customHeight="1" outlineLevel="1">
      <c r="A28" s="48" t="b">
        <v>0</v>
      </c>
      <c r="B28" s="20" t="s">
        <v>44</v>
      </c>
      <c r="C28" s="24"/>
      <c r="D28" s="25"/>
      <c r="E28" s="25"/>
      <c r="F28" s="26"/>
      <c r="G28" s="37"/>
      <c r="H28" s="50" t="str">
        <f>IF(OR(A28=1,A28=TRUE),IF(AND(C18&lt;&gt;"",C19&lt;&gt;""),C18 &amp; " / " &amp; C19, IF(AND(C18="",C19&lt;&gt;""),C19,C18)),"")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4.75" customHeight="1" outlineLevel="1">
      <c r="A29" s="48" t="b">
        <v>0</v>
      </c>
      <c r="B29" s="20" t="s">
        <v>45</v>
      </c>
      <c r="C29" s="24"/>
      <c r="D29" s="25"/>
      <c r="E29" s="25"/>
      <c r="F29" s="26"/>
      <c r="G29" s="37"/>
      <c r="H29" s="50" t="str">
        <f>IF(OR(A29=1,A29=TRUE),C5,"")</f>
        <v/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8.0" customHeight="1">
      <c r="A30" s="14"/>
      <c r="B30" s="15"/>
      <c r="C30" s="15"/>
      <c r="D30" s="15"/>
      <c r="E30" s="15"/>
      <c r="F30" s="15"/>
      <c r="G30" s="15"/>
      <c r="H30" s="15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4.75" customHeight="1">
      <c r="A31" s="14"/>
      <c r="B31" s="18" t="s">
        <v>46</v>
      </c>
      <c r="C31" s="19"/>
      <c r="D31" s="19"/>
      <c r="E31" s="19"/>
      <c r="F31" s="19"/>
      <c r="G31" s="15"/>
      <c r="H31" s="15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4.75" customHeight="1" outlineLevel="1">
      <c r="A32" s="56" t="str">
        <f>C32</f>
        <v/>
      </c>
      <c r="B32" s="20" t="s">
        <v>1</v>
      </c>
      <c r="C32" s="57"/>
      <c r="D32" s="25"/>
      <c r="E32" s="25"/>
      <c r="F32" s="26"/>
      <c r="G32" s="15"/>
      <c r="H32" s="15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24.75" customHeight="1" outlineLevel="1">
      <c r="A33" s="43"/>
      <c r="B33" s="20" t="s">
        <v>46</v>
      </c>
      <c r="C33" s="58"/>
      <c r="D33" s="25"/>
      <c r="E33" s="25"/>
      <c r="F33" s="26"/>
      <c r="G33" s="15"/>
      <c r="H33" s="15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ht="24.75" customHeight="1" outlineLevel="1">
      <c r="A34" s="43"/>
      <c r="B34" s="20" t="str">
        <f>IF(C33="Thuiswinkel","Relatienummer Thuiswinkel","")</f>
        <v/>
      </c>
      <c r="C34" s="59"/>
      <c r="D34" s="25"/>
      <c r="E34" s="25"/>
      <c r="F34" s="26"/>
      <c r="G34" s="15"/>
      <c r="H34" s="15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ht="24.75" customHeight="1" outlineLevel="1">
      <c r="A35" s="39"/>
      <c r="B35" s="60" t="s">
        <v>47</v>
      </c>
      <c r="C35" s="61"/>
      <c r="D35" s="25"/>
      <c r="E35" s="25"/>
      <c r="F35" s="26"/>
      <c r="G35" s="15"/>
      <c r="H35" s="15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ht="24.75" customHeight="1" outlineLevel="1">
      <c r="A36" s="14"/>
      <c r="B36" s="20" t="s">
        <v>48</v>
      </c>
      <c r="C36" s="58"/>
      <c r="D36" s="25"/>
      <c r="E36" s="25"/>
      <c r="F36" s="26"/>
      <c r="G36" s="15"/>
      <c r="H36" s="15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24.75" customHeight="1" outlineLevel="1">
      <c r="A37" s="14"/>
      <c r="B37" s="20" t="str">
        <f>IF(OR(A32="eKomi",A32="Kiyoh"),"Import reviews (aantal)","")</f>
        <v/>
      </c>
      <c r="C37" s="62"/>
      <c r="D37" s="25"/>
      <c r="E37" s="25"/>
      <c r="F37" s="26"/>
      <c r="G37" s="15"/>
      <c r="H37" s="15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30.75" customHeight="1" outlineLevel="1">
      <c r="A38" s="14"/>
      <c r="B38" s="20" t="str">
        <f>IF(OR(A32="eKomi",A32="Kiyoh"),"Bron reviews
indien van toepassing","")</f>
        <v/>
      </c>
      <c r="C38" s="63"/>
      <c r="D38" s="25"/>
      <c r="E38" s="25"/>
      <c r="F38" s="26"/>
      <c r="G38" s="15"/>
      <c r="H38" s="15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24.75" customHeight="1" outlineLevel="1">
      <c r="A39" s="14"/>
      <c r="B39" s="28" t="s">
        <v>49</v>
      </c>
      <c r="C39" s="32" t="b">
        <v>0</v>
      </c>
      <c r="D39" s="64" t="s">
        <v>50</v>
      </c>
      <c r="E39" s="29" t="b">
        <v>0</v>
      </c>
      <c r="F39" s="65" t="s">
        <v>51</v>
      </c>
      <c r="G39" s="66" t="str">
        <f>IF(C39=TRUE,D39 &amp; ", ",) &amp; IF(E39=TRUE,F39 &amp; ", ",)</f>
        <v/>
      </c>
      <c r="H39" s="15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24.75" customHeight="1" outlineLevel="1">
      <c r="A40" s="14"/>
      <c r="B40" s="67"/>
      <c r="C40" s="68" t="str">
        <f>IF(E39=TRUE,"Aantal reviews: ","")</f>
        <v/>
      </c>
      <c r="D40" s="25"/>
      <c r="E40" s="25"/>
      <c r="F40" s="26"/>
      <c r="G40" s="37"/>
      <c r="H40" s="69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24.75" customHeight="1" outlineLevel="1">
      <c r="A41" s="14"/>
      <c r="B41" s="67"/>
      <c r="C41" s="29" t="b">
        <v>0</v>
      </c>
      <c r="D41" s="64" t="s">
        <v>52</v>
      </c>
      <c r="E41" s="32" t="b">
        <v>0</v>
      </c>
      <c r="F41" s="65" t="s">
        <v>53</v>
      </c>
      <c r="G41" s="66" t="str">
        <f t="shared" ref="G41:G44" si="1">IF(C41=TRUE,D41 &amp; ", ",) &amp; IF(E41=TRUE,F41 &amp; ", ",)</f>
        <v/>
      </c>
      <c r="H41" s="15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24.75" customHeight="1" outlineLevel="1">
      <c r="A42" s="14"/>
      <c r="B42" s="67"/>
      <c r="C42" s="29" t="b">
        <v>0</v>
      </c>
      <c r="D42" s="64" t="s">
        <v>54</v>
      </c>
      <c r="E42" s="32" t="b">
        <v>0</v>
      </c>
      <c r="F42" s="65" t="s">
        <v>55</v>
      </c>
      <c r="G42" s="15" t="str">
        <f t="shared" si="1"/>
        <v/>
      </c>
      <c r="H42" s="15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24.75" customHeight="1" outlineLevel="1">
      <c r="A43" s="14"/>
      <c r="B43" s="67"/>
      <c r="C43" s="32" t="b">
        <v>0</v>
      </c>
      <c r="D43" s="65" t="s">
        <v>56</v>
      </c>
      <c r="E43" s="32" t="b">
        <v>0</v>
      </c>
      <c r="F43" s="65" t="s">
        <v>57</v>
      </c>
      <c r="G43" s="15" t="str">
        <f t="shared" si="1"/>
        <v/>
      </c>
      <c r="H43" s="15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24.75" customHeight="1" outlineLevel="1">
      <c r="A44" s="14"/>
      <c r="B44" s="31"/>
      <c r="C44" s="29" t="b">
        <v>0</v>
      </c>
      <c r="D44" s="65" t="s">
        <v>58</v>
      </c>
      <c r="E44" s="29" t="b">
        <v>0</v>
      </c>
      <c r="F44" s="65" t="s">
        <v>59</v>
      </c>
      <c r="G44" s="66" t="str">
        <f t="shared" si="1"/>
        <v/>
      </c>
      <c r="H44" s="15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67.5" customHeight="1" outlineLevel="1">
      <c r="A45" s="14"/>
      <c r="B45" s="20" t="s">
        <v>60</v>
      </c>
      <c r="C45" s="59"/>
      <c r="D45" s="25"/>
      <c r="E45" s="25"/>
      <c r="F45" s="26"/>
      <c r="G45" s="70">
        <f>SUMPRODUCT(LEN(G39:G44))</f>
        <v>0</v>
      </c>
      <c r="H45" s="15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4"/>
      <c r="B46" s="71" t="str">
        <f>IF(NOT(C32="Bouwnu"),C32 &amp; " " &amp;  C33 &amp; " " &amp; C35 &amp; " uitnodigingen per maand " &amp; IF(G45&gt;0, IF(AND(C32&lt;&gt;"",C33&lt;&gt;"",C35&lt;&gt;""),"inclusief " &amp; G39 &amp; G41&amp;G42&amp;G43&amp;G44,"Onvoldoende data"),""),"")</f>
        <v>   uitnodigingen per maand </v>
      </c>
      <c r="C46" s="15"/>
      <c r="D46" s="15"/>
      <c r="E46" s="15"/>
      <c r="F46" s="15"/>
      <c r="G46" s="15"/>
      <c r="H46" s="15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25.5" customHeight="1">
      <c r="A47" s="14"/>
      <c r="B47" s="72" t="str">
        <f>IF(C33="Thuiswinkel","Gereduceerd tarief is van toepassing, geldig gedurende Thuiswinkel lidmaatschap","") &amp; IF(E39=TRUE,"Bij gebruik van de invite-link wordt het maandpakket gebaseerd op het aantal ontvangen reviews " &amp; "(" &amp; H40 &amp; ")","")</f>
        <v/>
      </c>
      <c r="G47" s="15"/>
      <c r="H47" s="15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20.25" customHeight="1">
      <c r="A48" s="14"/>
      <c r="B48" s="47"/>
      <c r="C48" s="15"/>
      <c r="D48" s="15"/>
      <c r="E48" s="15"/>
      <c r="F48" s="15"/>
      <c r="G48" s="15"/>
      <c r="H48" s="15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20.25" customHeight="1">
      <c r="A49" s="14"/>
      <c r="B49" s="18" t="s">
        <v>61</v>
      </c>
      <c r="C49" s="15"/>
      <c r="D49" s="15"/>
      <c r="E49" s="15"/>
      <c r="F49" s="15"/>
      <c r="G49" s="15"/>
      <c r="H49" s="15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8.75" customHeight="1">
      <c r="A50" s="14"/>
      <c r="B50" s="73"/>
      <c r="C50" s="74"/>
      <c r="D50" s="74"/>
      <c r="E50" s="74"/>
      <c r="F50" s="75"/>
      <c r="G50" s="15"/>
      <c r="H50" s="15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18.75" customHeight="1">
      <c r="A51" s="14"/>
      <c r="B51" s="76"/>
      <c r="F51" s="77"/>
      <c r="G51" s="15"/>
      <c r="H51" s="15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18.75" customHeight="1">
      <c r="A52" s="14"/>
      <c r="B52" s="76"/>
      <c r="F52" s="77"/>
      <c r="G52" s="15"/>
      <c r="H52" s="15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18.75" customHeight="1">
      <c r="A53" s="14"/>
      <c r="B53" s="76"/>
      <c r="F53" s="77"/>
      <c r="G53" s="15"/>
      <c r="H53" s="15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8.75" customHeight="1">
      <c r="A54" s="14"/>
      <c r="B54" s="76"/>
      <c r="F54" s="77"/>
      <c r="G54" s="15"/>
      <c r="H54" s="15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ht="18.75" customHeight="1">
      <c r="A55" s="14"/>
      <c r="B55" s="78"/>
      <c r="C55" s="22"/>
      <c r="D55" s="22"/>
      <c r="E55" s="22"/>
      <c r="F55" s="23"/>
      <c r="G55" s="15"/>
      <c r="H55" s="15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>
      <c r="A56" s="14"/>
      <c r="B56" s="15"/>
      <c r="C56" s="15"/>
      <c r="D56" s="15"/>
      <c r="E56" s="15"/>
      <c r="F56" s="15"/>
      <c r="G56" s="15"/>
      <c r="H56" s="15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14"/>
      <c r="B57" s="79" t="s">
        <v>62</v>
      </c>
      <c r="C57" s="25"/>
      <c r="D57" s="25"/>
      <c r="E57" s="25"/>
      <c r="F57" s="26"/>
      <c r="G57" s="15"/>
      <c r="H57" s="15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14"/>
      <c r="B58" s="80" t="s">
        <v>63</v>
      </c>
      <c r="C58" s="81">
        <v>46204.0</v>
      </c>
      <c r="D58" s="82"/>
      <c r="E58" s="82"/>
      <c r="F58" s="83"/>
      <c r="G58" s="15"/>
      <c r="H58" s="15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14"/>
      <c r="B59" s="84" t="s">
        <v>64</v>
      </c>
      <c r="C59" s="85" t="s">
        <v>65</v>
      </c>
      <c r="D59" s="22"/>
      <c r="E59" s="22"/>
      <c r="F59" s="23"/>
      <c r="G59" s="15"/>
      <c r="H59" s="15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14"/>
      <c r="B60" s="15"/>
      <c r="C60" s="15"/>
      <c r="D60" s="15"/>
      <c r="E60" s="15"/>
      <c r="F60" s="15"/>
      <c r="G60" s="15"/>
      <c r="H60" s="15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14"/>
      <c r="B61" s="15"/>
      <c r="C61" s="15"/>
      <c r="D61" s="15"/>
      <c r="E61" s="15"/>
      <c r="F61" s="15"/>
      <c r="G61" s="15"/>
      <c r="H61" s="15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14"/>
      <c r="B62" s="15"/>
      <c r="C62" s="15"/>
      <c r="D62" s="15"/>
      <c r="E62" s="15"/>
      <c r="F62" s="15"/>
      <c r="G62" s="15"/>
      <c r="H62" s="15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14"/>
      <c r="B63" s="15"/>
      <c r="C63" s="15"/>
      <c r="D63" s="15"/>
      <c r="E63" s="15"/>
      <c r="F63" s="15"/>
      <c r="G63" s="15"/>
      <c r="H63" s="15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14"/>
      <c r="B64" s="15"/>
      <c r="C64" s="15"/>
      <c r="D64" s="15"/>
      <c r="E64" s="15"/>
      <c r="F64" s="15"/>
      <c r="G64" s="15"/>
      <c r="H64" s="15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14"/>
      <c r="B65" s="15"/>
      <c r="C65" s="15"/>
      <c r="D65" s="15"/>
      <c r="E65" s="15"/>
      <c r="F65" s="15"/>
      <c r="G65" s="15"/>
      <c r="H65" s="15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14"/>
      <c r="B66" s="15"/>
      <c r="C66" s="15"/>
      <c r="D66" s="15"/>
      <c r="E66" s="15"/>
      <c r="F66" s="15"/>
      <c r="G66" s="15"/>
      <c r="H66" s="15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14"/>
      <c r="B67" s="15"/>
      <c r="C67" s="15"/>
      <c r="D67" s="15"/>
      <c r="E67" s="15"/>
      <c r="F67" s="15"/>
      <c r="G67" s="15"/>
      <c r="H67" s="15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14"/>
      <c r="B68" s="15"/>
      <c r="C68" s="15"/>
      <c r="D68" s="15"/>
      <c r="E68" s="15"/>
      <c r="F68" s="15"/>
      <c r="G68" s="15"/>
      <c r="H68" s="15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4"/>
      <c r="B69" s="15"/>
      <c r="C69" s="15"/>
      <c r="D69" s="15"/>
      <c r="E69" s="15"/>
      <c r="F69" s="15"/>
      <c r="G69" s="15"/>
      <c r="H69" s="15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4"/>
      <c r="B70" s="15"/>
      <c r="C70" s="15"/>
      <c r="D70" s="15"/>
      <c r="E70" s="15"/>
      <c r="F70" s="15"/>
      <c r="G70" s="15"/>
      <c r="H70" s="15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4"/>
      <c r="B71" s="15"/>
      <c r="C71" s="15"/>
      <c r="D71" s="15"/>
      <c r="E71" s="15"/>
      <c r="F71" s="15"/>
      <c r="G71" s="15"/>
      <c r="H71" s="15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4"/>
      <c r="B72" s="15"/>
      <c r="C72" s="15"/>
      <c r="D72" s="15"/>
      <c r="E72" s="15"/>
      <c r="F72" s="15"/>
      <c r="G72" s="15"/>
      <c r="H72" s="15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4"/>
      <c r="B73" s="15"/>
      <c r="C73" s="15"/>
      <c r="D73" s="15"/>
      <c r="E73" s="15"/>
      <c r="F73" s="15"/>
      <c r="G73" s="15"/>
      <c r="H73" s="15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4"/>
      <c r="B74" s="15"/>
      <c r="C74" s="15"/>
      <c r="D74" s="15"/>
      <c r="E74" s="15"/>
      <c r="F74" s="15"/>
      <c r="G74" s="15"/>
      <c r="H74" s="15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4"/>
      <c r="B75" s="15"/>
      <c r="C75" s="15"/>
      <c r="D75" s="15"/>
      <c r="E75" s="15"/>
      <c r="F75" s="15"/>
      <c r="G75" s="15"/>
      <c r="H75" s="15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4"/>
      <c r="B76" s="15"/>
      <c r="C76" s="15"/>
      <c r="D76" s="15"/>
      <c r="E76" s="15"/>
      <c r="F76" s="15"/>
      <c r="G76" s="15"/>
      <c r="H76" s="15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4"/>
      <c r="B77" s="15"/>
      <c r="C77" s="15"/>
      <c r="D77" s="15"/>
      <c r="E77" s="15"/>
      <c r="F77" s="15"/>
      <c r="G77" s="15"/>
      <c r="H77" s="15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4"/>
      <c r="B78" s="15"/>
      <c r="C78" s="15"/>
      <c r="D78" s="15"/>
      <c r="E78" s="15"/>
      <c r="F78" s="15"/>
      <c r="G78" s="15"/>
      <c r="H78" s="15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4"/>
      <c r="B79" s="15"/>
      <c r="C79" s="15"/>
      <c r="D79" s="15"/>
      <c r="E79" s="15"/>
      <c r="F79" s="15"/>
      <c r="G79" s="15"/>
      <c r="H79" s="15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4"/>
      <c r="B80" s="15"/>
      <c r="C80" s="15"/>
      <c r="D80" s="15"/>
      <c r="E80" s="15"/>
      <c r="F80" s="15"/>
      <c r="G80" s="15"/>
      <c r="H80" s="15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</sheetData>
  <mergeCells count="35">
    <mergeCell ref="C4:F4"/>
    <mergeCell ref="C5:F5"/>
    <mergeCell ref="C6:F6"/>
    <mergeCell ref="C7:F7"/>
    <mergeCell ref="B8:B9"/>
    <mergeCell ref="C10:F10"/>
    <mergeCell ref="C14:F14"/>
    <mergeCell ref="C15:F15"/>
    <mergeCell ref="C16:F16"/>
    <mergeCell ref="C17:F17"/>
    <mergeCell ref="C18:F18"/>
    <mergeCell ref="C19:F19"/>
    <mergeCell ref="C22:F22"/>
    <mergeCell ref="C23:F23"/>
    <mergeCell ref="C24:F24"/>
    <mergeCell ref="C25:F25"/>
    <mergeCell ref="C26:F26"/>
    <mergeCell ref="C27:E27"/>
    <mergeCell ref="C28:F28"/>
    <mergeCell ref="C29:F29"/>
    <mergeCell ref="C32:F32"/>
    <mergeCell ref="C40:F40"/>
    <mergeCell ref="C45:F45"/>
    <mergeCell ref="B47:F47"/>
    <mergeCell ref="B50:F55"/>
    <mergeCell ref="B57:F57"/>
    <mergeCell ref="C58:F58"/>
    <mergeCell ref="C59:F59"/>
    <mergeCell ref="C33:F33"/>
    <mergeCell ref="C34:F34"/>
    <mergeCell ref="C35:F35"/>
    <mergeCell ref="C36:F36"/>
    <mergeCell ref="C37:F37"/>
    <mergeCell ref="C38:F38"/>
    <mergeCell ref="B39:B44"/>
  </mergeCells>
  <dataValidations>
    <dataValidation type="list" allowBlank="1" sqref="C33">
      <formula1>Label_Keuze1</formula1>
    </dataValidation>
    <dataValidation type="list" allowBlank="1" sqref="C36">
      <formula1>"6 mnd,12 mnd,24 mnd,36 mnd"</formula1>
    </dataValidation>
    <dataValidation type="list" allowBlank="1" sqref="C32">
      <formula1>Label_Name</formula1>
    </dataValidation>
  </dataValidations>
  <drawing r:id="rId2"/>
  <legacyDrawing r:id="rId3"/>
</worksheet>
</file>